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Sheet1!$A$1:$E$67</definedName>
  </definedNames>
  <calcPr/>
</workbook>
</file>

<file path=xl/sharedStrings.xml><?xml version="1.0" encoding="utf-8"?>
<sst xmlns="http://schemas.openxmlformats.org/spreadsheetml/2006/main" count="242" uniqueCount="160">
  <si>
    <t>County</t>
  </si>
  <si>
    <t>Municipality</t>
  </si>
  <si>
    <t>Ordinance Status</t>
  </si>
  <si>
    <t>Ordinance / Action Date</t>
  </si>
  <si>
    <t>Source</t>
  </si>
  <si>
    <t>Allegheny County</t>
  </si>
  <si>
    <t>ADOPTED</t>
  </si>
  <si>
    <t>Adams Township</t>
  </si>
  <si>
    <t>Butler</t>
  </si>
  <si>
    <t>Curative-amendment moratorium / zoning rewrite</t>
  </si>
  <si>
    <t>Allentown</t>
  </si>
  <si>
    <t>Lehigh</t>
  </si>
  <si>
    <t>Adopted data-center zoning</t>
  </si>
  <si>
    <t>Erie County</t>
  </si>
  <si>
    <t>PROPOSED</t>
  </si>
  <si>
    <t>Bensalem Township</t>
  </si>
  <si>
    <t>Bucks</t>
  </si>
  <si>
    <t>Curative-amendment moratorium</t>
  </si>
  <si>
    <t>Franklin County</t>
  </si>
  <si>
    <t>Brookville Borough</t>
  </si>
  <si>
    <t>Jefferson</t>
  </si>
  <si>
    <t>Moratorium</t>
  </si>
  <si>
    <t>Luzerne County</t>
  </si>
  <si>
    <t>Buffalo Township</t>
  </si>
  <si>
    <t>Moratorium / data-center zoning review</t>
  </si>
  <si>
    <t>Butler Township</t>
  </si>
  <si>
    <t>Lycoming County</t>
  </si>
  <si>
    <t>Center Township</t>
  </si>
  <si>
    <t>Cummings Township</t>
  </si>
  <si>
    <t>Lycoming</t>
  </si>
  <si>
    <t>Montour County</t>
  </si>
  <si>
    <t>Dorrance Township</t>
  </si>
  <si>
    <t>Luzerne</t>
  </si>
  <si>
    <t>Moratorium / zoning amendment process</t>
  </si>
  <si>
    <t>East Whiteland Township</t>
  </si>
  <si>
    <t>Chester</t>
  </si>
  <si>
    <t>Susquehanna County</t>
  </si>
  <si>
    <t>East Vincent Township</t>
  </si>
  <si>
    <t>Data Center Campus ordinance drafted / under review</t>
  </si>
  <si>
    <t>2025-2026</t>
  </si>
  <si>
    <t>Tioga County</t>
  </si>
  <si>
    <t>December 2025 / February 2026</t>
  </si>
  <si>
    <t>Forks Township</t>
  </si>
  <si>
    <t>Northampton</t>
  </si>
  <si>
    <t>Adopted data-center zoning amendment</t>
  </si>
  <si>
    <t>Lehigh County</t>
  </si>
  <si>
    <t>Franklin Park Borough</t>
  </si>
  <si>
    <t>Allegheny</t>
  </si>
  <si>
    <t>Adopted Data Center Overlay</t>
  </si>
  <si>
    <t>Lancaster County</t>
  </si>
  <si>
    <t>Granville Township</t>
  </si>
  <si>
    <t>Mifflin</t>
  </si>
  <si>
    <t>Adopted data-center zoning ordinance</t>
  </si>
  <si>
    <t>Gratz Borough</t>
  </si>
  <si>
    <t>Dauphin</t>
  </si>
  <si>
    <t>Mifflin County</t>
  </si>
  <si>
    <t>Proposed data-center zoning ordinance</t>
  </si>
  <si>
    <t>2026-02 to 2026-04</t>
  </si>
  <si>
    <t>Montgomery County</t>
  </si>
  <si>
    <t>Guide Published</t>
  </si>
  <si>
    <t>Chester County</t>
  </si>
  <si>
    <t>Gregg Township</t>
  </si>
  <si>
    <t>Centre</t>
  </si>
  <si>
    <t>Moratorium / zoning review</t>
  </si>
  <si>
    <t>York County</t>
  </si>
  <si>
    <t>Union</t>
  </si>
  <si>
    <t>Hampden Township</t>
  </si>
  <si>
    <t>Cumberland</t>
  </si>
  <si>
    <t>Hazle Township</t>
  </si>
  <si>
    <t>Hemlock Township</t>
  </si>
  <si>
    <t>Columbia</t>
  </si>
  <si>
    <t>Jackson Township</t>
  </si>
  <si>
    <t>Adopted zoning restrictions</t>
  </si>
  <si>
    <t>Proposed Data Center Overlay</t>
  </si>
  <si>
    <t>Lancaster Township</t>
  </si>
  <si>
    <t>Curative-amendment process</t>
  </si>
  <si>
    <t>Lehman Township</t>
  </si>
  <si>
    <t>Pike</t>
  </si>
  <si>
    <t>Adopted township-wide data-center regulations</t>
  </si>
  <si>
    <t>Little Britain Township</t>
  </si>
  <si>
    <t>Lancaster</t>
  </si>
  <si>
    <t>Moratorium / zoning ordinance development</t>
  </si>
  <si>
    <t>Londonderry Township</t>
  </si>
  <si>
    <t>Lower Allen Township</t>
  </si>
  <si>
    <t>Proposed/reviewed data-center amendment</t>
  </si>
  <si>
    <t>Lower Mifflin Township</t>
  </si>
  <si>
    <t>Proposed/reviewed data-center/BESS amendment</t>
  </si>
  <si>
    <t>Mahanoy Township</t>
  </si>
  <si>
    <t>Schuylkill</t>
  </si>
  <si>
    <t>Middlesex Township</t>
  </si>
  <si>
    <t>Mount Carmel Township</t>
  </si>
  <si>
    <t>Northumberland</t>
  </si>
  <si>
    <t>Moratorium / zoning update</t>
  </si>
  <si>
    <t>Mount Pocono Borough</t>
  </si>
  <si>
    <t>Monroe</t>
  </si>
  <si>
    <t>Proposed data-center zoning amendment</t>
  </si>
  <si>
    <t>Muncy Township</t>
  </si>
  <si>
    <t>North Codorus Township</t>
  </si>
  <si>
    <t>York</t>
  </si>
  <si>
    <t>Proposed data-center ordinance / hearing</t>
  </si>
  <si>
    <t>North Middleton Township</t>
  </si>
  <si>
    <t>Adopted data-center amendment</t>
  </si>
  <si>
    <t>Olyphant Borough</t>
  </si>
  <si>
    <t>Lackawanna</t>
  </si>
  <si>
    <t>Moratorium while drafting ordinance</t>
  </si>
  <si>
    <t>Palmer Township</t>
  </si>
  <si>
    <t>Adopted data-center regulations</t>
  </si>
  <si>
    <t>Penn Forest Township</t>
  </si>
  <si>
    <t>Carbon</t>
  </si>
  <si>
    <t>Perkasie Borough</t>
  </si>
  <si>
    <t>Draft zoning amendment under review</t>
  </si>
  <si>
    <t>Pocopson Township</t>
  </si>
  <si>
    <t>Proposed data-center ordinance</t>
  </si>
  <si>
    <t>Pocono Township</t>
  </si>
  <si>
    <t>Ransom Township</t>
  </si>
  <si>
    <t>Salem Township</t>
  </si>
  <si>
    <t>Curative-amendment process / temporary hold</t>
  </si>
  <si>
    <t>Sharon City</t>
  </si>
  <si>
    <t>Mercer</t>
  </si>
  <si>
    <t>Smithfield Township</t>
  </si>
  <si>
    <t>Adopted curative amendment / H-1 district</t>
  </si>
  <si>
    <t>South Hanover Township</t>
  </si>
  <si>
    <t>Draft ordinance; adoption paused</t>
  </si>
  <si>
    <t>South Middleton Township</t>
  </si>
  <si>
    <t>Proposed data-center/BESS text amendment</t>
  </si>
  <si>
    <t>Southampton Township</t>
  </si>
  <si>
    <t>Adopted/under-review Data Center Overlay</t>
  </si>
  <si>
    <t>2025-07-28 / 2026</t>
  </si>
  <si>
    <t>South Whitehall Township</t>
  </si>
  <si>
    <t>Adopted data-center/PIRT regulations</t>
  </si>
  <si>
    <t>Swatara Township</t>
  </si>
  <si>
    <t>2025-04-02 / 2026-08-05</t>
  </si>
  <si>
    <t>Tobyhanna Township</t>
  </si>
  <si>
    <t>Upper Burrell Township</t>
  </si>
  <si>
    <t>Westmoreland</t>
  </si>
  <si>
    <t>Moratorium / proposed ordinance</t>
  </si>
  <si>
    <t>2026-05 to 2026-11</t>
  </si>
  <si>
    <t>Upper Mount Bethel Township</t>
  </si>
  <si>
    <t>Proposed zoning amendment</t>
  </si>
  <si>
    <t>Warrington Township</t>
  </si>
  <si>
    <t>Curative-amendment process / moratorium</t>
  </si>
  <si>
    <t>West Hanover Township</t>
  </si>
  <si>
    <t>Proposed data-center/BESS zoning ordinance</t>
  </si>
  <si>
    <t>West Hempfield Township</t>
  </si>
  <si>
    <t>West Mahanoy Township</t>
  </si>
  <si>
    <t>West Norriton Township</t>
  </si>
  <si>
    <t>Montgomery</t>
  </si>
  <si>
    <t>West Whiteland Township</t>
  </si>
  <si>
    <t>Woodward Township</t>
  </si>
  <si>
    <t>Birmingham Township</t>
  </si>
  <si>
    <t>Proposed zoning amendment to regulate data centers</t>
  </si>
  <si>
    <t>Catawissa Township</t>
  </si>
  <si>
    <t>Proposed Data Center Overlay Ordinance 01-2026</t>
  </si>
  <si>
    <t>Dover Township</t>
  </si>
  <si>
    <t>Proposed zoning amendment defining/regulating data centers</t>
  </si>
  <si>
    <t>East Manchester Township</t>
  </si>
  <si>
    <t>Adopted standalone Data Center Ordinance 2026-3</t>
  </si>
  <si>
    <t>Dickinson Township</t>
  </si>
  <si>
    <t>Zoning Amendment</t>
  </si>
  <si>
    <t>North Newton Township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</si>
</sst>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 d, yyyy"/>
    <numFmt numFmtId="165" formatCode="yyyy-mm-dd"/>
    <numFmt numFmtId="166" formatCode="mmm. d, yyyy"/>
    <numFmt numFmtId="167" formatCode="mmmm, yyyy"/>
    <numFmt numFmtId="168" formatCode="yyyy-mm"/>
    <numFmt numFmtId="169" formatCode="mmm. yyyy"/>
    <numFmt numFmtId="170" formatCode="mmmm 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3" numFmtId="0" xfId="0" applyFont="1"/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4" numFmtId="169" xfId="0" applyAlignment="1" applyFont="1" applyNumberFormat="1">
      <alignment readingOrder="0"/>
    </xf>
    <xf borderId="0" fillId="0" fontId="5" numFmtId="170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3.0"/>
    <col customWidth="1" min="3" max="3" width="46.5"/>
    <col customWidth="1" min="4" max="4" width="22.38"/>
    <col customWidth="1" min="5" max="5" width="29.0"/>
    <col customWidth="1" min="6" max="6" width="23.25"/>
  </cols>
  <sheetData>
    <row r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>
      <c r="A2" s="1" t="s">
        <v>7</v>
      </c>
      <c r="B2" s="1" t="s">
        <v>8</v>
      </c>
      <c r="C2" s="1" t="s">
        <v>9</v>
      </c>
      <c r="D2" s="3">
        <v>46216.0</v>
      </c>
      <c r="E2" s="4" t="str">
        <f>HYPERLINK("https://savrn.com/data-center-moratorium-tracker/pennsylvania","SAVRN")</f>
        <v>SAVRN</v>
      </c>
    </row>
    <row r="3">
      <c r="A3" s="1" t="s">
        <v>10</v>
      </c>
      <c r="B3" s="1" t="s">
        <v>11</v>
      </c>
      <c r="C3" s="1" t="s">
        <v>12</v>
      </c>
      <c r="D3" s="3">
        <v>46239.0</v>
      </c>
      <c r="E3" s="5" t="str">
        <f>HYPERLINK("https://allentownpa.legistar.com/LegislationDetail.aspx?GUID=C3173483-143E-4856-9BFE-8F74A8CE4D1D&amp;ID=8118183&amp;Options=&amp;Search=&amp;amp=&amp;amp=&amp;amp=","Allentown Ordinance 16232")</f>
        <v>Allentown Ordinance 16232</v>
      </c>
    </row>
    <row r="4">
      <c r="A4" s="1" t="s">
        <v>15</v>
      </c>
      <c r="B4" s="1" t="s">
        <v>16</v>
      </c>
      <c r="C4" s="1" t="s">
        <v>17</v>
      </c>
      <c r="D4" s="3">
        <v>46181.0</v>
      </c>
      <c r="E4" s="4" t="str">
        <f t="shared" ref="E4:E8" si="1">HYPERLINK("https://savrn.com/data-center-moratorium-tracker/pennsylvania","SAVRN")</f>
        <v>SAVRN</v>
      </c>
    </row>
    <row r="5">
      <c r="A5" s="1" t="s">
        <v>19</v>
      </c>
      <c r="B5" s="1" t="s">
        <v>20</v>
      </c>
      <c r="C5" s="1" t="s">
        <v>21</v>
      </c>
      <c r="D5" s="7">
        <v>46023.0</v>
      </c>
      <c r="E5" s="5" t="str">
        <f t="shared" si="1"/>
        <v>SAVRN</v>
      </c>
    </row>
    <row r="6">
      <c r="A6" s="1" t="s">
        <v>23</v>
      </c>
      <c r="B6" s="1" t="s">
        <v>8</v>
      </c>
      <c r="C6" s="1" t="s">
        <v>24</v>
      </c>
      <c r="D6" s="1">
        <v>2026.0</v>
      </c>
      <c r="E6" s="8" t="str">
        <f t="shared" si="1"/>
        <v>SAVRN</v>
      </c>
    </row>
    <row r="7">
      <c r="A7" s="1" t="s">
        <v>25</v>
      </c>
      <c r="B7" s="1" t="s">
        <v>8</v>
      </c>
      <c r="C7" s="1" t="s">
        <v>17</v>
      </c>
      <c r="D7" s="7">
        <v>46143.0</v>
      </c>
      <c r="E7" s="9" t="str">
        <f t="shared" si="1"/>
        <v>SAVRN</v>
      </c>
    </row>
    <row r="8">
      <c r="A8" s="1" t="s">
        <v>27</v>
      </c>
      <c r="B8" s="1" t="s">
        <v>8</v>
      </c>
      <c r="C8" s="1" t="s">
        <v>17</v>
      </c>
      <c r="D8" s="1">
        <v>2026.0</v>
      </c>
      <c r="E8" s="5" t="str">
        <f t="shared" si="1"/>
        <v>SAVRN</v>
      </c>
    </row>
    <row r="9">
      <c r="A9" s="1" t="s">
        <v>28</v>
      </c>
      <c r="B9" s="1" t="s">
        <v>29</v>
      </c>
      <c r="C9" s="1" t="s">
        <v>17</v>
      </c>
      <c r="D9" s="3">
        <v>46217.0</v>
      </c>
      <c r="E9" s="4" t="str">
        <f>HYPERLINK("https://www.cumberlandcountypa.gov/DocumentCenter/View/53444/Data-Center-Overlay-DIstrict-Map-and-Text-Review-Report-2025-04-25","Cummings Township")</f>
        <v>Cummings Township</v>
      </c>
    </row>
    <row r="10">
      <c r="A10" s="1" t="s">
        <v>31</v>
      </c>
      <c r="B10" s="1" t="s">
        <v>32</v>
      </c>
      <c r="C10" s="1" t="s">
        <v>33</v>
      </c>
      <c r="D10" s="7">
        <v>45870.0</v>
      </c>
      <c r="E10" s="4" t="str">
        <f t="shared" ref="E10:E11" si="2">HYPERLINK("https://savrn.com/data-center-moratorium-tracker/pennsylvania","SAVRN")</f>
        <v>SAVRN</v>
      </c>
    </row>
    <row r="11">
      <c r="A11" s="1" t="s">
        <v>34</v>
      </c>
      <c r="B11" s="1" t="s">
        <v>35</v>
      </c>
      <c r="C11" s="1" t="s">
        <v>17</v>
      </c>
      <c r="D11" s="7">
        <v>46082.0</v>
      </c>
      <c r="E11" s="8" t="str">
        <f t="shared" si="2"/>
        <v>SAVRN</v>
      </c>
    </row>
    <row r="12">
      <c r="A12" s="1" t="s">
        <v>37</v>
      </c>
      <c r="B12" s="1" t="s">
        <v>35</v>
      </c>
      <c r="C12" s="1" t="s">
        <v>38</v>
      </c>
      <c r="D12" s="1" t="s">
        <v>39</v>
      </c>
      <c r="E12" s="8" t="str">
        <f>HYPERLINK("https://www.eastvincent.org/vertical/sites/%7B5B8F1E55-6CA8-450E-BB40-12A8385B1313%7D/uploads/Draft_DCC_Ordinance_-_10.29.2025_Clean.pdf","Draft ordinance")</f>
        <v>Draft ordinance</v>
      </c>
    </row>
    <row r="13">
      <c r="A13" s="1" t="s">
        <v>42</v>
      </c>
      <c r="B13" s="1" t="s">
        <v>43</v>
      </c>
      <c r="C13" s="1" t="s">
        <v>44</v>
      </c>
      <c r="D13" s="3">
        <v>46191.0</v>
      </c>
      <c r="E13" s="4" t="str">
        <f>HYPERLINK("https://ecode360.com/8573894","Forks Township Code")</f>
        <v>Forks Township Code</v>
      </c>
    </row>
    <row r="14">
      <c r="A14" s="1" t="s">
        <v>46</v>
      </c>
      <c r="B14" s="1" t="s">
        <v>47</v>
      </c>
      <c r="C14" s="1" t="s">
        <v>48</v>
      </c>
      <c r="D14" s="3">
        <v>46190.0</v>
      </c>
      <c r="E14" s="8" t="str">
        <f>HYPERLINK("https://www.franklinparkborough.us/DocumentCenter/View/3283/Ordinance-No-697-2026---Zoning-Ord-Amendment---Data-Center-Overlay-District","Ordinance 697")</f>
        <v>Ordinance 697</v>
      </c>
    </row>
    <row r="15">
      <c r="A15" s="1" t="s">
        <v>50</v>
      </c>
      <c r="B15" s="1" t="s">
        <v>51</v>
      </c>
      <c r="C15" s="1" t="s">
        <v>52</v>
      </c>
      <c r="D15" s="3">
        <v>46293.0</v>
      </c>
      <c r="E15" s="8" t="str">
        <f>HYPERLINK("https://granvilletwp.org/","Granville Township")</f>
        <v>Granville Township</v>
      </c>
    </row>
    <row r="16">
      <c r="A16" s="1" t="s">
        <v>53</v>
      </c>
      <c r="B16" s="1" t="s">
        <v>54</v>
      </c>
      <c r="C16" s="1" t="s">
        <v>56</v>
      </c>
      <c r="D16" s="1" t="s">
        <v>57</v>
      </c>
      <c r="E16" s="4" t="str">
        <f>HYPERLINK("https://gratzboro.com/news/2026/02/notice-of-public-hearing/","Public hearing notice")</f>
        <v>Public hearing notice</v>
      </c>
    </row>
    <row r="17">
      <c r="A17" s="1" t="s">
        <v>61</v>
      </c>
      <c r="B17" s="1" t="s">
        <v>62</v>
      </c>
      <c r="C17" s="1" t="s">
        <v>63</v>
      </c>
      <c r="D17" s="7">
        <v>46023.0</v>
      </c>
      <c r="E17" s="8" t="str">
        <f t="shared" ref="E17:E18" si="3">HYPERLINK("https://savrn.com/data-center-moratorium-tracker/pennsylvania","SAVRN")</f>
        <v>SAVRN</v>
      </c>
    </row>
    <row r="18">
      <c r="A18" s="1" t="s">
        <v>61</v>
      </c>
      <c r="B18" s="1" t="s">
        <v>65</v>
      </c>
      <c r="C18" s="1" t="s">
        <v>63</v>
      </c>
      <c r="D18" s="3">
        <v>46254.0</v>
      </c>
      <c r="E18" s="9" t="str">
        <f t="shared" si="3"/>
        <v>SAVRN</v>
      </c>
    </row>
    <row r="19">
      <c r="A19" s="1" t="s">
        <v>66</v>
      </c>
      <c r="B19" s="1" t="s">
        <v>67</v>
      </c>
      <c r="C19" s="1" t="s">
        <v>12</v>
      </c>
      <c r="D19" s="3">
        <v>46205.0</v>
      </c>
      <c r="E19" s="8" t="str">
        <f>HYPERLINK("https://library.municode.com/pa/hampden_township/codes/code_of_ordinances?nodeId=CH27ZO_PT19COUS_S1918DACE","Municipal Code")</f>
        <v>Municipal Code</v>
      </c>
    </row>
    <row r="20">
      <c r="A20" s="1" t="s">
        <v>68</v>
      </c>
      <c r="B20" s="1" t="s">
        <v>32</v>
      </c>
      <c r="C20" s="1" t="s">
        <v>17</v>
      </c>
      <c r="D20" s="7">
        <v>46174.0</v>
      </c>
      <c r="E20" s="4" t="str">
        <f>HYPERLINK("https://savrn.com/data-center-moratorium-tracker/pennsylvania","SAVRN")</f>
        <v>SAVRN</v>
      </c>
    </row>
    <row r="21">
      <c r="A21" s="1" t="s">
        <v>69</v>
      </c>
      <c r="B21" s="1" t="s">
        <v>70</v>
      </c>
      <c r="C21" s="1" t="s">
        <v>44</v>
      </c>
      <c r="D21" s="3">
        <v>46273.0</v>
      </c>
      <c r="E21" s="4" t="str">
        <f>HYPERLINK("https://hemlocktownship.org/recycling-drop-off-for-july-cancelled/","Hemlock Township")</f>
        <v>Hemlock Township</v>
      </c>
    </row>
    <row r="22">
      <c r="A22" s="1" t="s">
        <v>71</v>
      </c>
      <c r="B22" s="1" t="s">
        <v>8</v>
      </c>
      <c r="C22" s="1" t="s">
        <v>72</v>
      </c>
      <c r="D22" s="1">
        <v>2026.0</v>
      </c>
      <c r="E22" s="5" t="str">
        <f>HYPERLINK("https://savrn.com/data-center-moratorium-tracker/pennsylvania","SAVRN")</f>
        <v>SAVRN</v>
      </c>
    </row>
    <row r="23">
      <c r="A23" s="1" t="s">
        <v>71</v>
      </c>
      <c r="B23" s="1" t="s">
        <v>70</v>
      </c>
      <c r="C23" s="1" t="s">
        <v>73</v>
      </c>
      <c r="D23" s="3">
        <v>46230.0</v>
      </c>
      <c r="E23" s="11" t="str">
        <f>HYPERLINK("https://jacksontownship.us/2026/07/13/notice-of-public-hearing-jackson-township-board-of-supervisors-proposed-zoning-ordinance-amendment-data-center-overlay-ordinance/","Public hearing notice")</f>
        <v>Public hearing notice</v>
      </c>
    </row>
    <row r="24">
      <c r="A24" s="1" t="s">
        <v>74</v>
      </c>
      <c r="B24" s="1" t="s">
        <v>8</v>
      </c>
      <c r="C24" s="1" t="s">
        <v>75</v>
      </c>
      <c r="D24" s="3">
        <v>46223.0</v>
      </c>
      <c r="E24" s="8" t="str">
        <f>HYPERLINK("https://savrn.com/data-center-moratorium-tracker/pennsylvania","SAVRN")</f>
        <v>SAVRN</v>
      </c>
    </row>
    <row r="25">
      <c r="A25" s="1" t="s">
        <v>76</v>
      </c>
      <c r="B25" s="1" t="s">
        <v>77</v>
      </c>
      <c r="C25" s="1" t="s">
        <v>78</v>
      </c>
      <c r="D25" s="3">
        <v>45981.0</v>
      </c>
      <c r="E25" s="4" t="str">
        <f>HYPERLINK("https://protectourpoconos.com/","Protect Our Poconos")</f>
        <v>Protect Our Poconos</v>
      </c>
    </row>
    <row r="26">
      <c r="A26" s="1" t="s">
        <v>79</v>
      </c>
      <c r="B26" s="1" t="s">
        <v>80</v>
      </c>
      <c r="C26" s="1" t="s">
        <v>81</v>
      </c>
      <c r="D26" s="7">
        <v>46023.0</v>
      </c>
      <c r="E26" s="9" t="str">
        <f>HYPERLINK("https://savrn.com/data-center-moratorium-tracker/pennsylvania","SAVRN")</f>
        <v>SAVRN</v>
      </c>
    </row>
    <row r="27">
      <c r="A27" s="1" t="s">
        <v>82</v>
      </c>
      <c r="B27" s="1" t="s">
        <v>54</v>
      </c>
      <c r="C27" s="1" t="s">
        <v>48</v>
      </c>
      <c r="D27" s="3">
        <v>46064.0</v>
      </c>
      <c r="E27" s="8" t="str">
        <f>HYPERLINK("https://ecode360.com/50109987","Londonderry Township Code")</f>
        <v>Londonderry Township Code</v>
      </c>
    </row>
    <row r="28">
      <c r="A28" s="1" t="s">
        <v>83</v>
      </c>
      <c r="B28" s="1" t="s">
        <v>67</v>
      </c>
      <c r="C28" s="1" t="s">
        <v>84</v>
      </c>
      <c r="D28" s="1">
        <v>2026.0</v>
      </c>
      <c r="E28" s="4" t="str">
        <f t="shared" ref="E28:E29" si="4">HYPERLINK("https://www.cumberlandcountypa.gov/4893/Ordinance-Review-Comments","Cumberland County review")</f>
        <v>Cumberland County review</v>
      </c>
    </row>
    <row r="29">
      <c r="A29" s="1" t="s">
        <v>85</v>
      </c>
      <c r="B29" s="1" t="s">
        <v>67</v>
      </c>
      <c r="C29" s="1" t="s">
        <v>86</v>
      </c>
      <c r="D29" s="1">
        <v>2026.0</v>
      </c>
      <c r="E29" s="8" t="str">
        <f t="shared" si="4"/>
        <v>Cumberland County review</v>
      </c>
    </row>
    <row r="30">
      <c r="A30" s="1" t="s">
        <v>87</v>
      </c>
      <c r="B30" s="1" t="s">
        <v>88</v>
      </c>
      <c r="C30" s="1" t="s">
        <v>12</v>
      </c>
      <c r="D30" s="1">
        <v>2026.0</v>
      </c>
      <c r="E30" s="5" t="str">
        <f>HYPERLINK("https://mahanoytownship.com/mahanoy-township-board-of-supervisors-ordinance-no-2026-4","Ordinance 2026-4")</f>
        <v>Ordinance 2026-4</v>
      </c>
    </row>
    <row r="31">
      <c r="A31" s="1" t="s">
        <v>89</v>
      </c>
      <c r="B31" s="1" t="s">
        <v>67</v>
      </c>
      <c r="C31" s="1" t="s">
        <v>48</v>
      </c>
      <c r="D31" s="3">
        <v>45807.0</v>
      </c>
      <c r="E31" s="5" t="str">
        <f>HYPERLINK("https://protectcumberlandcountypa.org/middlesex/","Protect Cumberland County")</f>
        <v>Protect Cumberland County</v>
      </c>
    </row>
    <row r="32">
      <c r="A32" s="1" t="s">
        <v>90</v>
      </c>
      <c r="B32" s="1" t="s">
        <v>91</v>
      </c>
      <c r="C32" s="1" t="s">
        <v>92</v>
      </c>
      <c r="D32" s="7">
        <v>46143.0</v>
      </c>
      <c r="E32" s="4" t="str">
        <f>HYPERLINK("https://savrn.com/data-center-moratorium-tracker/pennsylvania","SAVRN")</f>
        <v>SAVRN</v>
      </c>
    </row>
    <row r="33">
      <c r="A33" s="1" t="s">
        <v>93</v>
      </c>
      <c r="B33" s="1" t="s">
        <v>94</v>
      </c>
      <c r="C33" s="1" t="s">
        <v>95</v>
      </c>
      <c r="D33" s="7">
        <v>46143.0</v>
      </c>
      <c r="E33" s="5" t="str">
        <f>HYPERLINK("https://www.monroecountypa.gov/getmedia/980f6741-d65b-4696-acd5-4f34515613a5/20260512_PlanningCommission_Agenda.pdf","Monroe County Planning Commission")</f>
        <v>Monroe County Planning Commission</v>
      </c>
    </row>
    <row r="34">
      <c r="A34" s="1" t="s">
        <v>96</v>
      </c>
      <c r="B34" s="1" t="s">
        <v>29</v>
      </c>
      <c r="C34" s="1" t="s">
        <v>21</v>
      </c>
      <c r="D34" s="7">
        <v>46023.0</v>
      </c>
      <c r="E34" s="5" t="str">
        <f>HYPERLINK("https://savrn.com/data-center-moratorium-tracker/pennsylvania","SAVRN")</f>
        <v>SAVRN</v>
      </c>
    </row>
    <row r="35">
      <c r="A35" s="1" t="s">
        <v>97</v>
      </c>
      <c r="B35" s="1" t="s">
        <v>98</v>
      </c>
      <c r="C35" s="1" t="s">
        <v>99</v>
      </c>
      <c r="D35" s="3">
        <v>46084.0</v>
      </c>
      <c r="E35" s="4" t="str">
        <f>HYPERLINK("https://savvycitizenapp.com/o/115413","Public hearing notice")</f>
        <v>Public hearing notice</v>
      </c>
    </row>
    <row r="36">
      <c r="A36" s="1" t="s">
        <v>100</v>
      </c>
      <c r="B36" s="1" t="s">
        <v>67</v>
      </c>
      <c r="C36" s="1" t="s">
        <v>101</v>
      </c>
      <c r="D36" s="1" t="s">
        <v>39</v>
      </c>
      <c r="E36" s="4" t="str">
        <f>HYPERLINK("https://padatacenters.org/compare-regulations/","PA Data Centers")</f>
        <v>PA Data Centers</v>
      </c>
    </row>
    <row r="37">
      <c r="A37" s="1" t="s">
        <v>102</v>
      </c>
      <c r="B37" s="1" t="s">
        <v>103</v>
      </c>
      <c r="C37" s="1" t="s">
        <v>104</v>
      </c>
      <c r="D37" s="3">
        <v>46127.0</v>
      </c>
      <c r="E37" s="4" t="str">
        <f>HYPERLINK("https://savrn.com/data-center-moratorium-tracker/pennsylvania","SAVRN")</f>
        <v>SAVRN</v>
      </c>
    </row>
    <row r="38">
      <c r="A38" s="1" t="s">
        <v>105</v>
      </c>
      <c r="B38" s="1" t="s">
        <v>43</v>
      </c>
      <c r="C38" s="1" t="s">
        <v>106</v>
      </c>
      <c r="D38" s="3">
        <v>45873.0</v>
      </c>
      <c r="E38" s="11" t="str">
        <f>HYPERLINK("https://ecode360.com/44754144","Palmer Township Code")</f>
        <v>Palmer Township Code</v>
      </c>
    </row>
    <row r="39">
      <c r="A39" s="1" t="s">
        <v>107</v>
      </c>
      <c r="B39" s="1" t="s">
        <v>108</v>
      </c>
      <c r="C39" s="1" t="s">
        <v>48</v>
      </c>
      <c r="D39" s="3">
        <v>46083.0</v>
      </c>
      <c r="E39" s="4" t="str">
        <f>HYPERLINK("https://ecode360.com/47670606","Penn Forest Township Code")</f>
        <v>Penn Forest Township Code</v>
      </c>
    </row>
    <row r="40">
      <c r="A40" s="1" t="s">
        <v>109</v>
      </c>
      <c r="B40" s="1" t="s">
        <v>16</v>
      </c>
      <c r="C40" s="1" t="s">
        <v>110</v>
      </c>
      <c r="D40" s="1">
        <v>2026.0</v>
      </c>
      <c r="E40" s="4" t="str">
        <f>HYPERLINK("https://perkasieborough.org/media/4044/2026_06_15-public-council-packet.pdf","Council packet")</f>
        <v>Council packet</v>
      </c>
    </row>
    <row r="41">
      <c r="A41" s="1" t="s">
        <v>111</v>
      </c>
      <c r="B41" s="1" t="s">
        <v>35</v>
      </c>
      <c r="C41" s="1" t="s">
        <v>112</v>
      </c>
      <c r="D41" s="7">
        <v>46204.0</v>
      </c>
      <c r="E41" s="11" t="str">
        <f>HYPERLINK("https://pocopson.org/data-center-ordinance-to-be-considered-by-the-board-of-supervisors-at-its-july-27-2027-meeting/","Pocopson Township")</f>
        <v>Pocopson Township</v>
      </c>
    </row>
    <row r="42">
      <c r="A42" s="1" t="s">
        <v>113</v>
      </c>
      <c r="B42" s="1" t="s">
        <v>94</v>
      </c>
      <c r="C42" s="1" t="s">
        <v>73</v>
      </c>
      <c r="D42" s="7">
        <v>46143.0</v>
      </c>
      <c r="E42" s="4" t="str">
        <f>HYPERLINK("https://www.monroecountypa.gov/getmedia/980f6741-d65b-4696-acd5-4f34515613a5/20260512_PlanningCommission_Agenda.pdf","Monroe County Planning Commission")</f>
        <v>Monroe County Planning Commission</v>
      </c>
    </row>
    <row r="43">
      <c r="A43" s="1" t="s">
        <v>114</v>
      </c>
      <c r="B43" s="1" t="s">
        <v>103</v>
      </c>
      <c r="C43" s="1" t="s">
        <v>56</v>
      </c>
      <c r="D43" s="3">
        <v>46289.0</v>
      </c>
      <c r="E43" s="8" t="str">
        <f>HYPERLINK("https://www.noticeregistry.com/pennsylvania/notice/public-hearing-ransom-2469250","Public hearing notice")</f>
        <v>Public hearing notice</v>
      </c>
    </row>
    <row r="44">
      <c r="A44" s="1" t="s">
        <v>115</v>
      </c>
      <c r="B44" s="1" t="s">
        <v>32</v>
      </c>
      <c r="C44" s="1" t="s">
        <v>116</v>
      </c>
      <c r="D44" s="3">
        <v>46231.0</v>
      </c>
      <c r="E44" s="5" t="str">
        <f>HYPERLINK("https://savrn.com/data-center-moratorium-tracker/pennsylvania","SAVRN")</f>
        <v>SAVRN</v>
      </c>
    </row>
    <row r="45">
      <c r="A45" s="1" t="s">
        <v>117</v>
      </c>
      <c r="B45" s="1" t="s">
        <v>118</v>
      </c>
      <c r="C45" s="1" t="s">
        <v>52</v>
      </c>
      <c r="D45" s="1">
        <v>2026.0</v>
      </c>
      <c r="E45" s="4" t="str">
        <f>HYPERLINK("https://www.cityofsharon.net/departments/CodeEnforcement/ZoningOrdinance","Sharon City")</f>
        <v>Sharon City</v>
      </c>
    </row>
    <row r="46">
      <c r="A46" s="1" t="s">
        <v>119</v>
      </c>
      <c r="B46" s="1" t="s">
        <v>94</v>
      </c>
      <c r="C46" s="1" t="s">
        <v>120</v>
      </c>
      <c r="D46" s="3">
        <v>46246.0</v>
      </c>
      <c r="E46" s="5" t="str">
        <f>HYPERLINK("https://smithfieldtownship.com/otp/dcca/","Smithfield Township")</f>
        <v>Smithfield Township</v>
      </c>
    </row>
    <row r="47">
      <c r="A47" s="1" t="s">
        <v>121</v>
      </c>
      <c r="B47" s="1" t="s">
        <v>54</v>
      </c>
      <c r="C47" s="1" t="s">
        <v>122</v>
      </c>
      <c r="D47" s="1">
        <v>2026.0</v>
      </c>
      <c r="E47" s="4" t="str">
        <f>HYPERLINK("https://www.protectsouthhanoverpa.org/updates.html","South Hanover Township")</f>
        <v>South Hanover Township</v>
      </c>
    </row>
    <row r="48">
      <c r="A48" s="1" t="s">
        <v>123</v>
      </c>
      <c r="B48" s="1" t="s">
        <v>67</v>
      </c>
      <c r="C48" s="1" t="s">
        <v>124</v>
      </c>
      <c r="D48" s="3">
        <v>46199.0</v>
      </c>
      <c r="E48" s="9" t="str">
        <f t="shared" ref="E48:E49" si="5">HYPERLINK("https://www.cumberlandcountypa.gov/4893/Ordinance-Review-Comments","Cumberland County review")</f>
        <v>Cumberland County review</v>
      </c>
    </row>
    <row r="49">
      <c r="A49" s="1" t="s">
        <v>125</v>
      </c>
      <c r="B49" s="1" t="s">
        <v>67</v>
      </c>
      <c r="C49" s="1" t="s">
        <v>126</v>
      </c>
      <c r="D49" s="1" t="s">
        <v>127</v>
      </c>
      <c r="E49" s="5" t="str">
        <f t="shared" si="5"/>
        <v>Cumberland County review</v>
      </c>
    </row>
    <row r="50">
      <c r="A50" s="1" t="s">
        <v>128</v>
      </c>
      <c r="B50" s="1" t="s">
        <v>11</v>
      </c>
      <c r="C50" s="1" t="s">
        <v>129</v>
      </c>
      <c r="D50" s="3">
        <v>45875.0</v>
      </c>
      <c r="E50" s="5" t="str">
        <f>HYPERLINK("https://www.southwhitehall.com/home/showpublisheddocument/5120/638900895115930000","South Whitehall ordinance")</f>
        <v>South Whitehall ordinance</v>
      </c>
    </row>
    <row r="51">
      <c r="A51" s="1" t="s">
        <v>130</v>
      </c>
      <c r="B51" s="1" t="s">
        <v>54</v>
      </c>
      <c r="C51" s="1" t="s">
        <v>12</v>
      </c>
      <c r="D51" s="1" t="s">
        <v>131</v>
      </c>
      <c r="E51" s="4" t="str">
        <f>HYPERLINK("https://www.zoneomics.com/code/swatara-township-PA/chapter_4","Swatara Township Code")</f>
        <v>Swatara Township Code</v>
      </c>
    </row>
    <row r="52">
      <c r="A52" s="1" t="s">
        <v>132</v>
      </c>
      <c r="B52" s="1" t="s">
        <v>94</v>
      </c>
      <c r="C52" s="1" t="s">
        <v>48</v>
      </c>
      <c r="D52" s="3">
        <v>46006.0</v>
      </c>
      <c r="E52" s="8" t="str">
        <f>HYPERLINK("https://ecode360.com/49192399","Tobyhanna Township Code")</f>
        <v>Tobyhanna Township Code</v>
      </c>
    </row>
    <row r="53">
      <c r="A53" s="1" t="s">
        <v>133</v>
      </c>
      <c r="B53" s="1" t="s">
        <v>134</v>
      </c>
      <c r="C53" s="1" t="s">
        <v>135</v>
      </c>
      <c r="D53" s="1" t="s">
        <v>136</v>
      </c>
      <c r="E53" s="5" t="str">
        <f>HYPERLINK("https://savrn.com/data-center-moratorium-tracker/pennsylvania","SAVRN")</f>
        <v>SAVRN</v>
      </c>
    </row>
    <row r="54">
      <c r="A54" s="1" t="s">
        <v>137</v>
      </c>
      <c r="B54" s="1" t="s">
        <v>43</v>
      </c>
      <c r="C54" s="1" t="s">
        <v>138</v>
      </c>
      <c r="D54" s="1">
        <v>2026.0</v>
      </c>
      <c r="E54" s="5" t="str">
        <f>HYPERLINK("https://www.umbt.org/","Upper Mount Bethel Township")</f>
        <v>Upper Mount Bethel Township</v>
      </c>
    </row>
    <row r="55">
      <c r="A55" s="1" t="s">
        <v>139</v>
      </c>
      <c r="B55" s="1" t="s">
        <v>98</v>
      </c>
      <c r="C55" s="1" t="s">
        <v>140</v>
      </c>
      <c r="D55" s="1">
        <v>2026.0</v>
      </c>
      <c r="E55" s="4" t="str">
        <f>HYPERLINK("https://savrn.com/data-center-moratorium-tracker/pennsylvania","SAVRN")</f>
        <v>SAVRN</v>
      </c>
    </row>
    <row r="56">
      <c r="A56" s="1" t="s">
        <v>141</v>
      </c>
      <c r="B56" s="1" t="s">
        <v>54</v>
      </c>
      <c r="C56" s="1" t="s">
        <v>142</v>
      </c>
      <c r="D56" s="3">
        <v>46226.0</v>
      </c>
      <c r="E56" s="5" t="str">
        <f>HYPERLINK("https://meetings.boardbook.org/Public/Projector/1176?meeting=756008","Public hearing record")</f>
        <v>Public hearing record</v>
      </c>
    </row>
    <row r="57">
      <c r="A57" s="1" t="s">
        <v>143</v>
      </c>
      <c r="B57" s="1" t="s">
        <v>80</v>
      </c>
      <c r="C57" s="1" t="s">
        <v>12</v>
      </c>
      <c r="D57" s="7">
        <v>46266.0</v>
      </c>
      <c r="E57" s="4" t="str">
        <f t="shared" ref="E57:E58" si="6">HYPERLINK("https://savrn.com/data-center-moratorium-tracker/pennsylvania","SAVRN")</f>
        <v>SAVRN</v>
      </c>
    </row>
    <row r="58">
      <c r="A58" s="1" t="s">
        <v>144</v>
      </c>
      <c r="B58" s="1" t="s">
        <v>88</v>
      </c>
      <c r="C58" s="1" t="s">
        <v>17</v>
      </c>
      <c r="D58" s="7">
        <v>46266.0</v>
      </c>
      <c r="E58" s="4" t="str">
        <f t="shared" si="6"/>
        <v>SAVRN</v>
      </c>
    </row>
    <row r="59">
      <c r="A59" s="1" t="s">
        <v>145</v>
      </c>
      <c r="B59" s="1" t="s">
        <v>146</v>
      </c>
      <c r="C59" s="1" t="s">
        <v>112</v>
      </c>
      <c r="D59" s="1">
        <v>2026.0</v>
      </c>
      <c r="E59" s="5" t="str">
        <f>HYPERLINK("https://pa-westnorriton.civicplus.com/AgendaCenter/ViewFile/ArchivedAgenda/_06022026-763","Township agenda")</f>
        <v>Township agenda</v>
      </c>
    </row>
    <row r="60">
      <c r="A60" s="1" t="s">
        <v>147</v>
      </c>
      <c r="B60" s="1" t="s">
        <v>35</v>
      </c>
      <c r="C60" s="1" t="s">
        <v>17</v>
      </c>
      <c r="D60" s="7">
        <v>46143.0</v>
      </c>
      <c r="E60" s="5" t="str">
        <f t="shared" ref="E60:E61" si="7">HYPERLINK("https://savrn.com/data-center-moratorium-tracker/pennsylvania","SAVRN")</f>
        <v>SAVRN</v>
      </c>
    </row>
    <row r="61">
      <c r="A61" s="1" t="s">
        <v>148</v>
      </c>
      <c r="B61" s="1" t="s">
        <v>29</v>
      </c>
      <c r="C61" s="1" t="s">
        <v>75</v>
      </c>
      <c r="D61" s="1">
        <v>2026.0</v>
      </c>
      <c r="E61" s="5" t="str">
        <f t="shared" si="7"/>
        <v>SAVRN</v>
      </c>
    </row>
    <row r="62">
      <c r="A62" s="1" t="s">
        <v>149</v>
      </c>
      <c r="B62" s="1" t="s">
        <v>35</v>
      </c>
      <c r="C62" s="1" t="s">
        <v>150</v>
      </c>
      <c r="D62" s="3">
        <v>46273.0</v>
      </c>
      <c r="E62" s="5" t="str">
        <f>HYPERLINK("https://www.birminghamtownship.org/m/newsflash/home/detail/35","Birmingham Township")</f>
        <v>Birmingham Township</v>
      </c>
    </row>
    <row r="63">
      <c r="A63" s="1" t="s">
        <v>151</v>
      </c>
      <c r="B63" s="1" t="s">
        <v>70</v>
      </c>
      <c r="C63" s="1" t="s">
        <v>152</v>
      </c>
      <c r="D63" s="3">
        <v>46233.0</v>
      </c>
      <c r="E63" s="5" t="str">
        <f>HYPERLINK("https://catawissatownship.org/links/","Catawissa Township")</f>
        <v>Catawissa Township</v>
      </c>
    </row>
    <row r="64">
      <c r="A64" s="1" t="s">
        <v>153</v>
      </c>
      <c r="B64" s="1" t="s">
        <v>98</v>
      </c>
      <c r="C64" s="1" t="s">
        <v>154</v>
      </c>
      <c r="D64" s="3">
        <v>46195.0</v>
      </c>
      <c r="E64" s="5" t="str">
        <f>HYPERLINK("https://www.dovertownship.org/2026/06/18/zoning-amendment-hearing/","Dover Township")</f>
        <v>Dover Township</v>
      </c>
    </row>
    <row r="65">
      <c r="A65" s="1" t="s">
        <v>155</v>
      </c>
      <c r="B65" s="1" t="s">
        <v>98</v>
      </c>
      <c r="C65" s="1" t="s">
        <v>156</v>
      </c>
      <c r="D65" s="3">
        <v>46120.0</v>
      </c>
      <c r="E65" s="5" t="str">
        <f>HYPERLINK("https://ecode360.com/51111214","East Manchester Township Code")</f>
        <v>East Manchester Township Code</v>
      </c>
    </row>
    <row r="66">
      <c r="A66" s="1" t="s">
        <v>157</v>
      </c>
      <c r="B66" s="1" t="s">
        <v>67</v>
      </c>
      <c r="C66" s="1" t="s">
        <v>158</v>
      </c>
      <c r="E66" s="5" t="str">
        <f t="shared" ref="E66:E67" si="8">HYPERLINK("https://www.cumberlandcountypa.gov/4893/Ordinance-Review-Comments","Cumberland County review")</f>
        <v>Cumberland County review</v>
      </c>
    </row>
    <row r="67">
      <c r="A67" s="1" t="s">
        <v>159</v>
      </c>
      <c r="B67" s="1" t="s">
        <v>67</v>
      </c>
      <c r="C67" s="1" t="s">
        <v>158</v>
      </c>
      <c r="E67" s="5" t="str">
        <f t="shared" si="8"/>
        <v>Cumberland County review</v>
      </c>
    </row>
  </sheetData>
  <autoFilter ref="$A$1:$E$67">
    <sortState ref="A1:E67">
      <sortCondition ref="A1:A6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88"/>
    <col customWidth="1" min="3" max="3" width="25.13"/>
    <col customWidth="1" min="4" max="4" width="41.75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1" t="s">
        <v>5</v>
      </c>
      <c r="B2" s="1" t="s">
        <v>6</v>
      </c>
      <c r="C2" s="2">
        <v>46287.0</v>
      </c>
      <c r="D2" s="5" t="str">
        <f>HYPERLINK("https://allegheny.legistar.com/LegislationDetail.aspx?GUID=4E029642-D0E0-44EE-B870-A55B47749759&amp;ID=8185928&amp;Options=&amp;Search=","Allegheny County Ordinance 14044-26")</f>
        <v>Allegheny County Ordinance 14044-26</v>
      </c>
    </row>
    <row r="3">
      <c r="A3" s="1" t="s">
        <v>13</v>
      </c>
      <c r="B3" s="1" t="s">
        <v>14</v>
      </c>
      <c r="C3" s="6">
        <v>46235.0</v>
      </c>
      <c r="D3" s="5" t="str">
        <f>HYPERLINK("https://eriecountypa.gov/wp-content/uploads/2026/06/Recommended-ECPC-Final-Proposed-Amendment.pdf","Erie County proposed SALDO amendment")</f>
        <v>Erie County proposed SALDO amendment</v>
      </c>
    </row>
    <row r="4">
      <c r="A4" s="1" t="s">
        <v>18</v>
      </c>
      <c r="B4" s="1" t="s">
        <v>6</v>
      </c>
      <c r="C4" s="2">
        <v>46162.0</v>
      </c>
      <c r="D4" s="5" t="str">
        <f>HYPERLINK("https://www.franklincountypa.gov/data-center-ordinance/","Franklin County Data Center Ordinance")</f>
        <v>Franklin County Data Center Ordinance</v>
      </c>
    </row>
    <row r="5">
      <c r="A5" s="1" t="s">
        <v>22</v>
      </c>
      <c r="B5" s="1" t="s">
        <v>14</v>
      </c>
      <c r="C5" s="2">
        <v>46303.0</v>
      </c>
      <c r="D5" s="5" t="str">
        <f>HYPERLINK("https://www.luzernecounty.org/1554/Data-Centers","Luzerne County Data Centers")</f>
        <v>Luzerne County Data Centers</v>
      </c>
    </row>
    <row r="6">
      <c r="A6" s="1" t="s">
        <v>26</v>
      </c>
      <c r="B6" s="1" t="s">
        <v>14</v>
      </c>
      <c r="C6" s="10">
        <v>46174.0</v>
      </c>
      <c r="D6" s="5" t="str">
        <f>HYPERLINK("https://lycomingcountypa.gov/MEETING%20AGENDA%206-18-26_final.pdf?t=202606151125280","Lycoming County Planning Commission agenda")</f>
        <v>Lycoming County Planning Commission agenda</v>
      </c>
    </row>
    <row r="7">
      <c r="A7" s="1" t="s">
        <v>30</v>
      </c>
      <c r="B7" s="1" t="s">
        <v>6</v>
      </c>
      <c r="C7" s="1">
        <v>2026.0</v>
      </c>
      <c r="D7" s="5" t="str">
        <f>HYPERLINK("https://www.montourcounty.gov/getmedia/b5de5f97-d92c-4231-8141-4dbcc6c94665/1_Ordinance-Amendment-Data-Centers-2026.pdf","Montour County Zoning Office / Data Center Ordinance")</f>
        <v>Montour County Zoning Office / Data Center Ordinance</v>
      </c>
    </row>
    <row r="8">
      <c r="A8" s="1" t="s">
        <v>36</v>
      </c>
      <c r="B8" s="1" t="s">
        <v>6</v>
      </c>
      <c r="C8" s="2">
        <v>46020.0</v>
      </c>
      <c r="D8" s="5" t="str">
        <f>HYPERLINK("https://www.susqco.com/departments/court-of-common-pleas/ordinances/susquehanna-county-ordinances","Susquehanna County Ordinances")</f>
        <v>Susquehanna County Ordinances</v>
      </c>
    </row>
    <row r="9">
      <c r="A9" s="1" t="s">
        <v>40</v>
      </c>
      <c r="B9" s="1" t="s">
        <v>6</v>
      </c>
      <c r="C9" s="1" t="s">
        <v>41</v>
      </c>
      <c r="D9" s="5" t="str">
        <f>HYPERLINK("https://www.tiogacountypa.us/departments/planning-commission","Tioga County Planning Commission")</f>
        <v>Tioga County Planning Commission</v>
      </c>
    </row>
    <row r="10">
      <c r="A10" s="1" t="s">
        <v>45</v>
      </c>
      <c r="B10" s="1" t="s">
        <v>6</v>
      </c>
      <c r="C10" s="10">
        <v>46266.0</v>
      </c>
      <c r="D10" s="5" t="str">
        <f>HYPERLINK("https://ecode360.com/13033355","Lehigh Township, Northampton County")</f>
        <v>Lehigh Township, Northampton County</v>
      </c>
    </row>
    <row r="11">
      <c r="A11" s="1" t="s">
        <v>49</v>
      </c>
      <c r="B11" s="1" t="s">
        <v>14</v>
      </c>
      <c r="C11" s="10">
        <v>46143.0</v>
      </c>
      <c r="D11" s="5" t="str">
        <f>HYPERLINK("https://ecode360.com/LA1674/laws/LF2754426.pdf","Lancaster County Zoning Amendment")</f>
        <v>Lancaster County Zoning Amendment</v>
      </c>
    </row>
    <row r="12">
      <c r="A12" s="1" t="s">
        <v>55</v>
      </c>
      <c r="B12" s="1" t="s">
        <v>6</v>
      </c>
      <c r="C12" s="10">
        <v>46204.0</v>
      </c>
      <c r="D12" s="5" t="str">
        <f>HYPERLINK("https://mifflincountypa.gov/getmedia/073efa5a-4b8a-4a6b-b9da-3a949b97e57c/MifflinCountyFINALDataCenterOrdinance-6-26-2026","Mifflin County Zoning Amendment")</f>
        <v>Mifflin County Zoning Amendment</v>
      </c>
    </row>
    <row r="13">
      <c r="A13" s="1" t="s">
        <v>58</v>
      </c>
      <c r="B13" s="1" t="s">
        <v>59</v>
      </c>
      <c r="C13" s="10">
        <v>46113.0</v>
      </c>
      <c r="D13" s="5" t="str">
        <f t="shared" ref="D13:D14" si="1">HYPERLINK("https://www.montgomerycountypa.gov/departments/planning-commission/planning-topic/publications/data-center-ordinance-guide","Montgomery/Chester County Ordinance Guide")</f>
        <v>Montgomery/Chester County Ordinance Guide</v>
      </c>
    </row>
    <row r="14">
      <c r="A14" s="1" t="s">
        <v>60</v>
      </c>
      <c r="B14" s="1" t="s">
        <v>59</v>
      </c>
      <c r="C14" s="10">
        <v>46113.0</v>
      </c>
      <c r="D14" s="5" t="str">
        <f t="shared" si="1"/>
        <v>Montgomery/Chester County Ordinance Guide</v>
      </c>
    </row>
    <row r="15">
      <c r="A15" s="1" t="s">
        <v>64</v>
      </c>
      <c r="B15" s="1" t="s">
        <v>59</v>
      </c>
      <c r="C15" s="10">
        <v>46113.0</v>
      </c>
      <c r="D15" s="5" t="str">
        <f>HYPERLINK("https://docaccess.com/docviewer.html?url=https%3A%2F%2Fwww.ycpc.org%2FDocumentCenter%2FView%2F5537%2FData-Centers-Model-Ordinance-PDF&amp;url_hash=b53e522c2b44cafe5610651a21a96625&amp;domain=ycpc.org&amp;site=f30a1cd0-920f-4ea9-8998-173dbb3bf793&amp;found_on=https%3A%2F%"&amp;"2Fwww.ycpc.org%2FSearch%3FsearchPhrase%3Ddata%2520center%26pageNumber%3D1%26perPage%3D10%26departmentId%3D-1","York County Data Center Ordinance Guide")</f>
        <v>York County Data Center Ordinance Guide</v>
      </c>
    </row>
  </sheetData>
  <drawing r:id="rId1"/>
</worksheet>
</file>